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C6CA341E-8BEF-4D54-82A2-4E313E48DFD6}" xr6:coauthVersionLast="47" xr6:coauthVersionMax="47" xr10:uidLastSave="{00000000-0000-0000-0000-000000000000}"/>
  <bookViews>
    <workbookView xWindow="-120" yWindow="-120" windowWidth="21840" windowHeight="13140" xr2:uid="{AE3D251B-9CF8-42C1-BEE4-2105B96C4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<sst xmlns="http://schemas.openxmlformats.org/spreadsheetml/2006/main" count="38" uniqueCount="34">
  <si>
    <t>Our Client</t>
  </si>
  <si>
    <t>Trade Name</t>
  </si>
  <si>
    <t>Invoice Date</t>
  </si>
  <si>
    <t>Document</t>
  </si>
  <si>
    <t>TM</t>
  </si>
  <si>
    <t>Docusign</t>
  </si>
  <si>
    <t>Document Date</t>
  </si>
  <si>
    <t>Executed Date</t>
  </si>
  <si>
    <t>Loan Count</t>
  </si>
  <si>
    <t>Expected Billing</t>
  </si>
  <si>
    <t>Billing Entity</t>
  </si>
  <si>
    <t>Submitted for Invoice</t>
  </si>
  <si>
    <t>Invoice Issued</t>
  </si>
  <si>
    <t>Deephaven</t>
  </si>
  <si>
    <t>Blackstone</t>
  </si>
  <si>
    <t>Deephaven to Blackstone 3.16.2026</t>
  </si>
  <si>
    <t>3.16.2026</t>
  </si>
  <si>
    <t>Reliance Letter</t>
  </si>
  <si>
    <t>Ben</t>
  </si>
  <si>
    <t>Yes</t>
  </si>
  <si>
    <t>HMAC</t>
  </si>
  <si>
    <t>Vista Point</t>
  </si>
  <si>
    <t>HMAC to VPM 3.16.2026</t>
  </si>
  <si>
    <t>Vista Point Mortgage</t>
  </si>
  <si>
    <t>ContactPerson</t>
  </si>
  <si>
    <t>ContactEmail</t>
  </si>
  <si>
    <t>ContactPhone</t>
  </si>
  <si>
    <t>Address</t>
  </si>
  <si>
    <t>Recipient</t>
  </si>
  <si>
    <t>Notes</t>
  </si>
  <si>
    <t>Ben Guest</t>
  </si>
  <si>
    <t>Test Contact</t>
  </si>
  <si>
    <t>test@test.com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</si>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</sst>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44" fontId="3" fillId="0" borderId="2" xfId="0" applyNumberFormat="1" applyFont="1" applyBorder="1" applyAlignment="1">
      <alignment horizontal="left" vertical="center"/>
    </xf>
    <xf numFmtId="0" fontId="0" fillId="0" borderId="1" xfId="0" applyBorder="1"/>
    <xf numFmtId="0" fontId="5" fillId="0" borderId="1" xfId="2" applyBorder="1"/>
  </cellXfs>
  <cellStyles count="3">
    <cellStyle name="Currency" xfId="1" builtinId="4"/>
    <cellStyle name="Hyperlink" xfId="2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C5A-D60C-4476-8F65-E577390BFC5A}">
  <dimension ref="A1:T3"/>
  <sheetViews>
    <sheetView tabSelected="1" zoomScale="85" zoomScaleNormal="85" workbookViewId="0">
      <selection activeCell="K2" sqref="K2"/>
    </sheetView>
  </sheetViews>
  <sheetFormatPr defaultRowHeight="15" x14ac:dyDescent="0.25"/>
  <cols>
    <col min="1" max="1" width="11.5703125" bestFit="1" customWidth="1"/>
    <col min="2" max="2" width="11.28515625" bestFit="1" customWidth="1"/>
    <col min="3" max="3" width="33.85546875" bestFit="1" customWidth="1"/>
    <col min="4" max="4" width="12" bestFit="1" customWidth="1"/>
    <col min="5" max="5" width="15.140625" bestFit="1" customWidth="1"/>
    <col min="6" max="6" width="10.5703125" bestFit="1" customWidth="1"/>
    <col min="7" max="7" width="9" bestFit="1" customWidth="1"/>
    <col min="8" max="8" width="14.85546875" bestFit="1" customWidth="1"/>
    <col min="9" max="9" width="13.85546875" bestFit="1" customWidth="1"/>
    <col min="10" max="10" width="10.85546875" bestFit="1" customWidth="1"/>
    <col min="11" max="11" width="7.28515625" bestFit="1" customWidth="1"/>
    <col min="12" max="12" width="16.7109375" bestFit="1" customWidth="1"/>
    <col min="13" max="13" width="20.42578125" bestFit="1" customWidth="1"/>
    <col min="14" max="14" width="22" bestFit="1" customWidth="1"/>
    <col min="15" max="15" width="13.7109375" bestFit="1" customWidth="1"/>
    <col min="16" max="16" width="7.140625" bestFit="1" customWidth="1"/>
    <col min="17" max="17" width="15.42578125" bestFit="1" customWidth="1"/>
    <col min="18" max="18" width="14.140625" bestFit="1" customWidth="1"/>
    <col min="19" max="19" width="15" bestFit="1" customWidth="1"/>
  </cols>
  <sheetData>
    <row r="1" spans="1:20" x14ac:dyDescent="0.2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33</v>
      </c>
      <c r="L1" s="3" t="s">
        <v>9</v>
      </c>
      <c r="M1" s="3" t="s">
        <v>10</v>
      </c>
      <c r="N1" s="3" t="s">
        <v>11</v>
      </c>
      <c r="O1" s="4" t="s">
        <v>12</v>
      </c>
      <c r="P1" s="1" t="s">
        <v>29</v>
      </c>
      <c r="Q1" s="3" t="s">
        <v>24</v>
      </c>
      <c r="R1" s="3" t="s">
        <v>25</v>
      </c>
      <c r="S1" s="3" t="s">
        <v>26</v>
      </c>
      <c r="T1" s="12" t="s">
        <v>27</v>
      </c>
    </row>
    <row r="2" spans="1:20" x14ac:dyDescent="0.25">
      <c r="A2" s="5" t="s">
        <v>13</v>
      </c>
      <c r="B2" s="6" t="s">
        <v>14</v>
      </c>
      <c r="C2" s="5" t="s">
        <v>15</v>
      </c>
      <c r="D2" s="5" t="s">
        <v>16</v>
      </c>
      <c r="E2" s="5" t="s">
        <v>17</v>
      </c>
      <c r="F2" s="5" t="s">
        <v>30</v>
      </c>
      <c r="G2" s="5" t="s">
        <v>19</v>
      </c>
      <c r="H2" s="7"/>
      <c r="I2" s="8"/>
      <c r="J2" s="8">
        <v>3</v>
      </c>
      <c r="K2" s="9">
        <v>65</v>
      </c>
      <c r="L2" s="10">
        <f>K2*J2</f>
        <v>195</v>
      </c>
      <c r="M2" s="10" t="s">
        <v>14</v>
      </c>
      <c r="N2" s="10" t="b">
        <v>0</v>
      </c>
      <c r="O2" s="8" t="b">
        <v>0</v>
      </c>
      <c r="P2" s="11"/>
      <c r="Q2" s="13" t="s">
        <v>31</v>
      </c>
      <c r="R2" s="14" t="s">
        <v>32</v>
      </c>
      <c r="S2" s="13">
        <v>10000000</v>
      </c>
      <c r="T2" s="13"/>
    </row>
    <row r="3" spans="1:20" x14ac:dyDescent="0.25">
      <c r="A3" s="5" t="s">
        <v>20</v>
      </c>
      <c r="B3" s="6" t="s">
        <v>21</v>
      </c>
      <c r="C3" s="5" t="s">
        <v>22</v>
      </c>
      <c r="D3" s="5" t="s">
        <v>16</v>
      </c>
      <c r="E3" s="5" t="s">
        <v>17</v>
      </c>
      <c r="F3" s="5" t="s">
        <v>18</v>
      </c>
      <c r="G3" s="5" t="s">
        <v>19</v>
      </c>
      <c r="H3" s="7"/>
      <c r="I3" s="8"/>
      <c r="J3" s="8">
        <v>3</v>
      </c>
      <c r="K3" s="9">
        <v>65</v>
      </c>
      <c r="L3" s="10">
        <f>K3*J3</f>
        <v>195</v>
      </c>
      <c r="M3" s="10" t="s">
        <v>23</v>
      </c>
      <c r="N3" s="10" t="b">
        <v>0</v>
      </c>
      <c r="O3" s="8" t="b">
        <v>0</v>
      </c>
      <c r="P3" s="11"/>
      <c r="Q3" s="13"/>
      <c r="R3" s="13"/>
      <c r="S3" s="13"/>
      <c r="T3" s="13"/>
    </row>
  </sheetData>
  <conditionalFormatting sqref="C1:D1">
    <cfRule type="duplicateValues" dxfId="3" priority="2"/>
    <cfRule type="duplicateValues" dxfId="2" priority="3"/>
    <cfRule type="duplicateValues" dxfId="1" priority="4"/>
  </conditionalFormatting>
  <conditionalFormatting sqref="K1">
    <cfRule type="cellIs" dxfId="0" priority="1" operator="lessThan">
      <formula>65</formula>
    </cfRule>
  </conditionalFormatting>
  <hyperlinks>
    <hyperlink ref="R2" r:id="rId1" xr:uid="{A8590B34-5336-4A9E-8D00-C289562DB3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2026-03-24T07:05:21Z</dcterms:created>
  <dcterms:modified xsi:type="dcterms:W3CDTF">2026-04-06T13:40:30Z</dcterms:modified>
</cp:coreProperties>
</file>