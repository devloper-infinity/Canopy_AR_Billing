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\Downloads\"/>
    </mc:Choice>
  </mc:AlternateContent>
  <xr:revisionPtr revIDLastSave="0" documentId="13_ncr:1_{9155636C-CB60-40AE-9C6E-D4ED5162BC97}" xr6:coauthVersionLast="47" xr6:coauthVersionMax="47" xr10:uidLastSave="{00000000-0000-0000-0000-000000000000}"/>
  <bookViews>
    <workbookView xWindow="-120" yWindow="-120" windowWidth="20730" windowHeight="11160" xr2:uid="{4BB3C9FE-E721-460E-BAB2-432B44298A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2" i="1" l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<sst xmlns="http://schemas.openxmlformats.org/spreadsheetml/2006/main" count="261" uniqueCount="97">
  <si>
    <t>Loan ID</t>
  </si>
  <si>
    <t>Name</t>
  </si>
  <si>
    <t>Submission Date</t>
  </si>
  <si>
    <t>User</t>
  </si>
  <si>
    <t>Complete Date</t>
  </si>
  <si>
    <t>Loan Program (Client Lock)</t>
  </si>
  <si>
    <t>Griffin Status</t>
  </si>
  <si>
    <t>Base Price</t>
  </si>
  <si>
    <t>Bank Statements</t>
  </si>
  <si>
    <t>Tax Returns</t>
  </si>
  <si>
    <t>Multiple Property Calculation</t>
  </si>
  <si>
    <t>Esclator Adjustment</t>
  </si>
  <si>
    <t>Total</t>
  </si>
  <si>
    <t>Laurel</t>
  </si>
  <si>
    <t>30 Year Fixed DSCR PPP</t>
  </si>
  <si>
    <t>Initial Submission</t>
  </si>
  <si>
    <t>No</t>
  </si>
  <si>
    <t>30YR 5YR Draw DH HELOC-Full Doc (Two Years)</t>
  </si>
  <si>
    <t>Yes</t>
  </si>
  <si>
    <t>D021768</t>
  </si>
  <si>
    <t>D020559</t>
  </si>
  <si>
    <t>D021862</t>
  </si>
  <si>
    <t>D021803</t>
  </si>
  <si>
    <t>D021856</t>
  </si>
  <si>
    <t>D022336</t>
  </si>
  <si>
    <t>D022199</t>
  </si>
  <si>
    <t>D022485</t>
  </si>
  <si>
    <t>D020846</t>
  </si>
  <si>
    <t>D022060</t>
  </si>
  <si>
    <t>D022083</t>
  </si>
  <si>
    <t>D021824</t>
  </si>
  <si>
    <t>D021944</t>
  </si>
  <si>
    <t>D022248</t>
  </si>
  <si>
    <t>D022409</t>
  </si>
  <si>
    <t>D022300</t>
  </si>
  <si>
    <t>D022037</t>
  </si>
  <si>
    <t>D022304</t>
  </si>
  <si>
    <t>D021786</t>
  </si>
  <si>
    <t>D022781</t>
  </si>
  <si>
    <t>D022244</t>
  </si>
  <si>
    <t>D022743</t>
  </si>
  <si>
    <t>D021705</t>
  </si>
  <si>
    <t>D021853</t>
  </si>
  <si>
    <t>D022739</t>
  </si>
  <si>
    <t>D022385</t>
  </si>
  <si>
    <t>D022836</t>
  </si>
  <si>
    <t>D022398</t>
  </si>
  <si>
    <t>D022414</t>
  </si>
  <si>
    <t>D022042</t>
  </si>
  <si>
    <t>D022571</t>
  </si>
  <si>
    <t>Frankenberry</t>
  </si>
  <si>
    <t>NONQM 30 Year Fixed Bank Statement</t>
  </si>
  <si>
    <t>Carroll</t>
  </si>
  <si>
    <t>30 Year Fixed DSCR PPP LLC</t>
  </si>
  <si>
    <t>Borji</t>
  </si>
  <si>
    <t>Jones</t>
  </si>
  <si>
    <t>Daugenti</t>
  </si>
  <si>
    <t>30 Year Fixed DSCR LLC</t>
  </si>
  <si>
    <t>Atlas</t>
  </si>
  <si>
    <t>Hincapie</t>
  </si>
  <si>
    <t>30 YR FX NONQM FULL DOC HELOAN</t>
  </si>
  <si>
    <t>Todd</t>
  </si>
  <si>
    <t>30YR 3YR Draw DH/VERUS HELOC-Full Doc (Two Years)</t>
  </si>
  <si>
    <t>Baker</t>
  </si>
  <si>
    <t>NONQM 30 Year Fixed P&amp;L</t>
  </si>
  <si>
    <t>Mullen</t>
  </si>
  <si>
    <t>Castaneda</t>
  </si>
  <si>
    <t>30YR 3YR Draw DH/VERUS HELOC-Business Bank Stmt 12 Mos</t>
  </si>
  <si>
    <t>Brown</t>
  </si>
  <si>
    <t>30YR 3YR Draw DH/VMC HELOC-Personal Bank Stmt 12 Mos</t>
  </si>
  <si>
    <t>Leuck</t>
  </si>
  <si>
    <t>30YR 3YR Draw DH/VMC HELOC-Full Doc (Two Years)</t>
  </si>
  <si>
    <t>Targett</t>
  </si>
  <si>
    <t>Kachrani</t>
  </si>
  <si>
    <t>Michelle</t>
  </si>
  <si>
    <t>initial Submission</t>
  </si>
  <si>
    <t>Kazemba</t>
  </si>
  <si>
    <t>Coppney</t>
  </si>
  <si>
    <t>30 Year Fixed DSCR</t>
  </si>
  <si>
    <t>Black</t>
  </si>
  <si>
    <t>Shea</t>
  </si>
  <si>
    <t>Long</t>
  </si>
  <si>
    <t>Johnson</t>
  </si>
  <si>
    <t>Hamzavi</t>
  </si>
  <si>
    <t>NONQM 5/6 SOFR ARM Bank Statement</t>
  </si>
  <si>
    <t>Freeman</t>
  </si>
  <si>
    <t>Thompson</t>
  </si>
  <si>
    <t>Berasko</t>
  </si>
  <si>
    <t>Nelson</t>
  </si>
  <si>
    <t>Mannie</t>
  </si>
  <si>
    <t>Anderson</t>
  </si>
  <si>
    <t>40 Year Fixed DSCR PPP LLC</t>
  </si>
  <si>
    <t>Savedra</t>
  </si>
  <si>
    <t>Skinner</t>
  </si>
  <si>
    <t>30 Year Fixed DSCR LLC HELOAN PPP</t>
  </si>
  <si>
    <t>Meehan</t>
  </si>
  <si>
    <t>NONQM 40 Year Fixed Bank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</si>
</sst>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3" fillId="0" borderId="1" xfId="0" applyFont="1" applyBorder="1"/>
    <xf numFmtId="14" fontId="2" fillId="2" borderId="1" xfId="0" applyNumberFormat="1" applyFont="1" applyFill="1" applyBorder="1" applyAlignment="1">
      <alignment horizontal="left"/>
    </xf>
  </cellXfs>
  <cellStyles count="2">
    <cellStyle name="Comma 2" xfId="1" xr:uid="{A6422416-E42E-49B8-9E79-A75A2F8FBB83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24239-E4CF-4F22-A6AE-4C88CC8C03FB}">
  <dimension ref="A1:M32"/>
  <sheetViews>
    <sheetView tabSelected="1" topLeftCell="A12" workbookViewId="0">
      <selection activeCell="O17" sqref="O17"/>
    </sheetView>
  </sheetViews>
  <sheetFormatPr defaultRowHeight="15" x14ac:dyDescent="0.25"/>
  <cols>
    <col min="1" max="1" width="7.28515625" bestFit="1" customWidth="1"/>
    <col min="2" max="2" width="7.140625" bestFit="1" customWidth="1"/>
    <col min="3" max="3" width="14.42578125" bestFit="1" customWidth="1"/>
    <col min="4" max="4" width="5.85546875" bestFit="1" customWidth="1"/>
    <col min="5" max="5" width="12.5703125" bestFit="1" customWidth="1"/>
    <col min="6" max="6" width="21.7109375" bestFit="1" customWidth="1"/>
    <col min="7" max="7" width="15.5703125" bestFit="1" customWidth="1"/>
    <col min="8" max="8" width="9" bestFit="1" customWidth="1"/>
    <col min="9" max="9" width="14.28515625" bestFit="1" customWidth="1"/>
    <col min="10" max="10" width="10" bestFit="1" customWidth="1"/>
    <col min="11" max="11" width="24.140625" bestFit="1" customWidth="1"/>
    <col min="12" max="12" width="16.5703125" bestFit="1" customWidth="1"/>
    <col min="13" max="13" width="5" bestFit="1" customWidth="1"/>
  </cols>
  <sheetData>
    <row r="1" spans="1:1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19</v>
      </c>
      <c r="B2" s="1" t="s">
        <v>50</v>
      </c>
      <c r="C2" s="2">
        <v>46142</v>
      </c>
      <c r="D2" s="2" t="s">
        <v>13</v>
      </c>
      <c r="E2" s="2">
        <v>46143</v>
      </c>
      <c r="F2" s="1" t="s">
        <v>51</v>
      </c>
      <c r="G2" s="1" t="s">
        <v>15</v>
      </c>
      <c r="H2" s="1">
        <v>350</v>
      </c>
      <c r="I2" s="1" t="s">
        <v>18</v>
      </c>
      <c r="J2" s="1" t="s">
        <v>16</v>
      </c>
      <c r="K2" s="1" t="s">
        <v>16</v>
      </c>
      <c r="L2" s="1">
        <v>45</v>
      </c>
      <c r="M2" s="1">
        <f>+L2+H2</f>
        <v>395</v>
      </c>
    </row>
    <row r="3" spans="1:13" x14ac:dyDescent="0.25">
      <c r="A3" s="1" t="s">
        <v>20</v>
      </c>
      <c r="B3" s="1" t="s">
        <v>52</v>
      </c>
      <c r="C3" s="2">
        <v>46143</v>
      </c>
      <c r="D3" s="2" t="s">
        <v>13</v>
      </c>
      <c r="E3" s="2">
        <v>46143</v>
      </c>
      <c r="F3" s="1" t="s">
        <v>53</v>
      </c>
      <c r="G3" s="1" t="s">
        <v>15</v>
      </c>
      <c r="H3" s="1">
        <v>350</v>
      </c>
      <c r="I3" s="1" t="s">
        <v>16</v>
      </c>
      <c r="J3" s="1" t="s">
        <v>16</v>
      </c>
      <c r="K3" s="1" t="s">
        <v>16</v>
      </c>
      <c r="L3" s="1"/>
      <c r="M3" s="1">
        <f t="shared" ref="M3:M32" si="0">+L3+H3</f>
        <v>350</v>
      </c>
    </row>
    <row r="4" spans="1:13" x14ac:dyDescent="0.25">
      <c r="A4" s="1" t="s">
        <v>21</v>
      </c>
      <c r="B4" s="1" t="s">
        <v>54</v>
      </c>
      <c r="C4" s="2">
        <v>46143</v>
      </c>
      <c r="D4" s="2" t="s">
        <v>13</v>
      </c>
      <c r="E4" s="2">
        <v>46146</v>
      </c>
      <c r="F4" s="1" t="s">
        <v>14</v>
      </c>
      <c r="G4" s="1" t="s">
        <v>15</v>
      </c>
      <c r="H4" s="1">
        <v>350</v>
      </c>
      <c r="I4" s="1" t="s">
        <v>16</v>
      </c>
      <c r="J4" s="1" t="s">
        <v>16</v>
      </c>
      <c r="K4" s="1" t="s">
        <v>16</v>
      </c>
      <c r="L4" s="1"/>
      <c r="M4" s="1">
        <f t="shared" si="0"/>
        <v>350</v>
      </c>
    </row>
    <row r="5" spans="1:13" x14ac:dyDescent="0.25">
      <c r="A5" s="1" t="s">
        <v>22</v>
      </c>
      <c r="B5" s="1" t="s">
        <v>55</v>
      </c>
      <c r="C5" s="2">
        <v>46147</v>
      </c>
      <c r="D5" s="2" t="s">
        <v>13</v>
      </c>
      <c r="E5" s="2">
        <v>46147</v>
      </c>
      <c r="F5" s="1" t="s">
        <v>17</v>
      </c>
      <c r="G5" s="1" t="s">
        <v>15</v>
      </c>
      <c r="H5" s="1">
        <v>350</v>
      </c>
      <c r="I5" s="1" t="s">
        <v>16</v>
      </c>
      <c r="J5" s="1" t="s">
        <v>16</v>
      </c>
      <c r="K5" s="1" t="s">
        <v>18</v>
      </c>
      <c r="L5" s="1">
        <v>45</v>
      </c>
      <c r="M5" s="1">
        <f t="shared" si="0"/>
        <v>395</v>
      </c>
    </row>
    <row r="6" spans="1:13" x14ac:dyDescent="0.25">
      <c r="A6" s="1" t="s">
        <v>23</v>
      </c>
      <c r="B6" s="1" t="s">
        <v>56</v>
      </c>
      <c r="C6" s="2">
        <v>46147</v>
      </c>
      <c r="D6" s="2" t="s">
        <v>13</v>
      </c>
      <c r="E6" s="2">
        <v>46148</v>
      </c>
      <c r="F6" s="1" t="s">
        <v>57</v>
      </c>
      <c r="G6" s="1" t="s">
        <v>15</v>
      </c>
      <c r="H6" s="1">
        <v>350</v>
      </c>
      <c r="I6" s="1" t="s">
        <v>16</v>
      </c>
      <c r="J6" s="1" t="s">
        <v>16</v>
      </c>
      <c r="K6" s="1" t="s">
        <v>16</v>
      </c>
      <c r="L6" s="1"/>
      <c r="M6" s="1">
        <f t="shared" si="0"/>
        <v>350</v>
      </c>
    </row>
    <row r="7" spans="1:13" x14ac:dyDescent="0.25">
      <c r="A7" s="1" t="s">
        <v>24</v>
      </c>
      <c r="B7" s="1" t="s">
        <v>58</v>
      </c>
      <c r="C7" s="2">
        <v>46148</v>
      </c>
      <c r="D7" s="2" t="s">
        <v>13</v>
      </c>
      <c r="E7" s="2">
        <v>46148</v>
      </c>
      <c r="F7" s="1" t="s">
        <v>51</v>
      </c>
      <c r="G7" s="1" t="s">
        <v>15</v>
      </c>
      <c r="H7" s="1">
        <v>350</v>
      </c>
      <c r="I7" s="1" t="s">
        <v>18</v>
      </c>
      <c r="J7" s="1" t="s">
        <v>16</v>
      </c>
      <c r="K7" s="1" t="s">
        <v>16</v>
      </c>
      <c r="L7" s="1">
        <v>45</v>
      </c>
      <c r="M7" s="1">
        <f t="shared" si="0"/>
        <v>395</v>
      </c>
    </row>
    <row r="8" spans="1:13" x14ac:dyDescent="0.25">
      <c r="A8" s="1" t="s">
        <v>25</v>
      </c>
      <c r="B8" s="1" t="s">
        <v>59</v>
      </c>
      <c r="C8" s="2">
        <v>46149</v>
      </c>
      <c r="D8" s="2" t="s">
        <v>13</v>
      </c>
      <c r="E8" s="2">
        <v>46150</v>
      </c>
      <c r="F8" s="1" t="s">
        <v>60</v>
      </c>
      <c r="G8" s="1" t="s">
        <v>15</v>
      </c>
      <c r="H8" s="1">
        <v>350</v>
      </c>
      <c r="I8" s="1" t="s">
        <v>16</v>
      </c>
      <c r="J8" s="1" t="s">
        <v>16</v>
      </c>
      <c r="K8" s="1" t="s">
        <v>16</v>
      </c>
      <c r="L8" s="1"/>
      <c r="M8" s="1">
        <f t="shared" si="0"/>
        <v>350</v>
      </c>
    </row>
    <row r="9" spans="1:13" x14ac:dyDescent="0.25">
      <c r="A9" s="3" t="s">
        <v>26</v>
      </c>
      <c r="B9" s="3" t="s">
        <v>61</v>
      </c>
      <c r="C9" s="2">
        <v>46153</v>
      </c>
      <c r="D9" s="2" t="s">
        <v>13</v>
      </c>
      <c r="E9" s="2">
        <v>46153</v>
      </c>
      <c r="F9" s="1" t="s">
        <v>62</v>
      </c>
      <c r="G9" s="1" t="s">
        <v>15</v>
      </c>
      <c r="H9" s="1">
        <v>350</v>
      </c>
      <c r="I9" s="1" t="s">
        <v>16</v>
      </c>
      <c r="J9" s="1" t="s">
        <v>16</v>
      </c>
      <c r="K9" s="1" t="s">
        <v>16</v>
      </c>
      <c r="L9" s="1"/>
      <c r="M9" s="1">
        <f t="shared" si="0"/>
        <v>350</v>
      </c>
    </row>
    <row r="10" spans="1:13" x14ac:dyDescent="0.25">
      <c r="A10" s="3" t="s">
        <v>27</v>
      </c>
      <c r="B10" s="3" t="s">
        <v>63</v>
      </c>
      <c r="C10" s="2">
        <v>46153</v>
      </c>
      <c r="D10" s="2" t="s">
        <v>13</v>
      </c>
      <c r="E10" s="2">
        <v>46153</v>
      </c>
      <c r="F10" s="1" t="s">
        <v>64</v>
      </c>
      <c r="G10" s="1" t="s">
        <v>15</v>
      </c>
      <c r="H10" s="1">
        <v>350</v>
      </c>
      <c r="I10" s="1" t="s">
        <v>16</v>
      </c>
      <c r="J10" s="1" t="s">
        <v>16</v>
      </c>
      <c r="K10" s="1" t="s">
        <v>16</v>
      </c>
      <c r="L10" s="1"/>
      <c r="M10" s="1">
        <f t="shared" si="0"/>
        <v>350</v>
      </c>
    </row>
    <row r="11" spans="1:13" x14ac:dyDescent="0.25">
      <c r="A11" s="3" t="s">
        <v>28</v>
      </c>
      <c r="B11" s="3" t="s">
        <v>65</v>
      </c>
      <c r="C11" s="2">
        <v>46153</v>
      </c>
      <c r="D11" s="2" t="s">
        <v>13</v>
      </c>
      <c r="E11" s="2">
        <v>46154</v>
      </c>
      <c r="F11" s="1" t="s">
        <v>53</v>
      </c>
      <c r="G11" s="1" t="s">
        <v>15</v>
      </c>
      <c r="H11" s="1">
        <v>350</v>
      </c>
      <c r="I11" s="1" t="s">
        <v>16</v>
      </c>
      <c r="J11" s="1" t="s">
        <v>16</v>
      </c>
      <c r="K11" s="1" t="s">
        <v>16</v>
      </c>
      <c r="L11" s="1"/>
      <c r="M11" s="1">
        <f t="shared" si="0"/>
        <v>350</v>
      </c>
    </row>
    <row r="12" spans="1:13" x14ac:dyDescent="0.25">
      <c r="A12" s="1" t="s">
        <v>29</v>
      </c>
      <c r="B12" s="1" t="s">
        <v>66</v>
      </c>
      <c r="C12" s="2">
        <v>46153</v>
      </c>
      <c r="D12" s="2" t="s">
        <v>13</v>
      </c>
      <c r="E12" s="2">
        <v>46154</v>
      </c>
      <c r="F12" s="1" t="s">
        <v>67</v>
      </c>
      <c r="G12" s="1" t="s">
        <v>15</v>
      </c>
      <c r="H12" s="1">
        <v>350</v>
      </c>
      <c r="I12" s="1" t="s">
        <v>18</v>
      </c>
      <c r="J12" s="1" t="s">
        <v>16</v>
      </c>
      <c r="K12" s="1" t="s">
        <v>16</v>
      </c>
      <c r="L12" s="1">
        <v>45</v>
      </c>
      <c r="M12" s="1">
        <f t="shared" si="0"/>
        <v>395</v>
      </c>
    </row>
    <row r="13" spans="1:13" x14ac:dyDescent="0.25">
      <c r="A13" s="1" t="s">
        <v>30</v>
      </c>
      <c r="B13" s="1" t="s">
        <v>68</v>
      </c>
      <c r="C13" s="2">
        <v>46153</v>
      </c>
      <c r="D13" s="2" t="s">
        <v>13</v>
      </c>
      <c r="E13" s="2">
        <v>46155</v>
      </c>
      <c r="F13" s="1" t="s">
        <v>69</v>
      </c>
      <c r="G13" s="1" t="s">
        <v>15</v>
      </c>
      <c r="H13" s="1">
        <v>350</v>
      </c>
      <c r="I13" s="1" t="s">
        <v>18</v>
      </c>
      <c r="J13" s="1" t="s">
        <v>16</v>
      </c>
      <c r="K13" s="1" t="s">
        <v>16</v>
      </c>
      <c r="L13" s="1">
        <v>45</v>
      </c>
      <c r="M13" s="1">
        <f t="shared" si="0"/>
        <v>395</v>
      </c>
    </row>
    <row r="14" spans="1:13" x14ac:dyDescent="0.25">
      <c r="A14" s="1" t="s">
        <v>31</v>
      </c>
      <c r="B14" s="1" t="s">
        <v>70</v>
      </c>
      <c r="C14" s="2">
        <v>46156</v>
      </c>
      <c r="D14" s="2" t="s">
        <v>13</v>
      </c>
      <c r="E14" s="4">
        <v>46156</v>
      </c>
      <c r="F14" s="1" t="s">
        <v>71</v>
      </c>
      <c r="G14" s="1" t="s">
        <v>15</v>
      </c>
      <c r="H14" s="1">
        <v>350</v>
      </c>
      <c r="I14" s="1" t="s">
        <v>16</v>
      </c>
      <c r="J14" s="1" t="s">
        <v>18</v>
      </c>
      <c r="K14" s="1" t="s">
        <v>18</v>
      </c>
      <c r="L14" s="1">
        <v>45</v>
      </c>
      <c r="M14" s="1">
        <f t="shared" si="0"/>
        <v>395</v>
      </c>
    </row>
    <row r="15" spans="1:13" x14ac:dyDescent="0.25">
      <c r="A15" s="1" t="s">
        <v>32</v>
      </c>
      <c r="B15" s="1" t="s">
        <v>72</v>
      </c>
      <c r="C15" s="2">
        <v>46156</v>
      </c>
      <c r="D15" s="2" t="s">
        <v>13</v>
      </c>
      <c r="E15" s="4">
        <v>46156</v>
      </c>
      <c r="F15" s="1" t="s">
        <v>57</v>
      </c>
      <c r="G15" s="1" t="s">
        <v>15</v>
      </c>
      <c r="H15" s="1">
        <v>350</v>
      </c>
      <c r="I15" s="1" t="s">
        <v>16</v>
      </c>
      <c r="J15" s="1" t="s">
        <v>16</v>
      </c>
      <c r="K15" s="1" t="s">
        <v>16</v>
      </c>
      <c r="L15" s="1"/>
      <c r="M15" s="1">
        <f t="shared" si="0"/>
        <v>350</v>
      </c>
    </row>
    <row r="16" spans="1:13" x14ac:dyDescent="0.25">
      <c r="A16" s="1" t="s">
        <v>33</v>
      </c>
      <c r="B16" s="1" t="s">
        <v>73</v>
      </c>
      <c r="C16" s="2">
        <v>46160</v>
      </c>
      <c r="D16" s="2" t="s">
        <v>74</v>
      </c>
      <c r="E16" s="2">
        <v>46160</v>
      </c>
      <c r="F16" s="1" t="s">
        <v>53</v>
      </c>
      <c r="G16" s="1" t="s">
        <v>75</v>
      </c>
      <c r="H16" s="1">
        <v>350</v>
      </c>
      <c r="I16" s="1" t="s">
        <v>16</v>
      </c>
      <c r="J16" s="1" t="s">
        <v>16</v>
      </c>
      <c r="K16" s="1" t="s">
        <v>16</v>
      </c>
      <c r="L16" s="1"/>
      <c r="M16" s="1">
        <f t="shared" si="0"/>
        <v>350</v>
      </c>
    </row>
    <row r="17" spans="1:13" x14ac:dyDescent="0.25">
      <c r="A17" s="1" t="s">
        <v>34</v>
      </c>
      <c r="B17" s="1" t="s">
        <v>76</v>
      </c>
      <c r="C17" s="2">
        <v>46157</v>
      </c>
      <c r="D17" s="2" t="s">
        <v>13</v>
      </c>
      <c r="E17" s="2">
        <v>46161</v>
      </c>
      <c r="F17" s="1" t="s">
        <v>53</v>
      </c>
      <c r="G17" s="1" t="s">
        <v>15</v>
      </c>
      <c r="H17" s="1">
        <v>350</v>
      </c>
      <c r="I17" s="1" t="s">
        <v>16</v>
      </c>
      <c r="J17" s="1" t="s">
        <v>16</v>
      </c>
      <c r="K17" s="1" t="s">
        <v>16</v>
      </c>
      <c r="L17" s="1"/>
      <c r="M17" s="1">
        <f t="shared" si="0"/>
        <v>350</v>
      </c>
    </row>
    <row r="18" spans="1:13" x14ac:dyDescent="0.25">
      <c r="A18" s="1" t="s">
        <v>35</v>
      </c>
      <c r="B18" s="1" t="s">
        <v>77</v>
      </c>
      <c r="C18" s="2">
        <v>46157</v>
      </c>
      <c r="D18" s="2" t="s">
        <v>13</v>
      </c>
      <c r="E18" s="2">
        <v>46161</v>
      </c>
      <c r="F18" s="1" t="s">
        <v>78</v>
      </c>
      <c r="G18" s="1" t="s">
        <v>75</v>
      </c>
      <c r="H18" s="1">
        <v>350</v>
      </c>
      <c r="I18" s="1" t="s">
        <v>16</v>
      </c>
      <c r="J18" s="1" t="s">
        <v>16</v>
      </c>
      <c r="K18" s="1" t="s">
        <v>16</v>
      </c>
      <c r="L18" s="1"/>
      <c r="M18" s="1">
        <f t="shared" si="0"/>
        <v>350</v>
      </c>
    </row>
    <row r="19" spans="1:13" x14ac:dyDescent="0.25">
      <c r="A19" s="1" t="s">
        <v>36</v>
      </c>
      <c r="B19" s="1" t="s">
        <v>79</v>
      </c>
      <c r="C19" s="2">
        <v>46161</v>
      </c>
      <c r="D19" s="2" t="s">
        <v>13</v>
      </c>
      <c r="E19" s="2">
        <v>46162</v>
      </c>
      <c r="F19" s="1" t="s">
        <v>53</v>
      </c>
      <c r="G19" s="1" t="s">
        <v>75</v>
      </c>
      <c r="H19" s="1">
        <v>350</v>
      </c>
      <c r="I19" s="1" t="s">
        <v>16</v>
      </c>
      <c r="J19" s="1" t="s">
        <v>16</v>
      </c>
      <c r="K19" s="1" t="s">
        <v>16</v>
      </c>
      <c r="L19" s="1"/>
      <c r="M19" s="1">
        <f t="shared" si="0"/>
        <v>350</v>
      </c>
    </row>
    <row r="20" spans="1:13" x14ac:dyDescent="0.25">
      <c r="A20" s="1" t="s">
        <v>37</v>
      </c>
      <c r="B20" s="1" t="s">
        <v>80</v>
      </c>
      <c r="C20" s="2">
        <v>46161</v>
      </c>
      <c r="D20" s="2" t="s">
        <v>13</v>
      </c>
      <c r="E20" s="2">
        <v>46163</v>
      </c>
      <c r="F20" s="1" t="s">
        <v>53</v>
      </c>
      <c r="G20" s="1" t="s">
        <v>75</v>
      </c>
      <c r="H20" s="1">
        <v>350</v>
      </c>
      <c r="I20" s="1" t="s">
        <v>16</v>
      </c>
      <c r="J20" s="1" t="s">
        <v>16</v>
      </c>
      <c r="K20" s="1" t="s">
        <v>16</v>
      </c>
      <c r="L20" s="1"/>
      <c r="M20" s="1">
        <f t="shared" si="0"/>
        <v>350</v>
      </c>
    </row>
    <row r="21" spans="1:13" x14ac:dyDescent="0.25">
      <c r="A21" s="1" t="s">
        <v>38</v>
      </c>
      <c r="B21" s="1" t="s">
        <v>81</v>
      </c>
      <c r="C21" s="2">
        <v>46161</v>
      </c>
      <c r="D21" s="2" t="s">
        <v>13</v>
      </c>
      <c r="E21" s="2">
        <v>46164</v>
      </c>
      <c r="F21" s="1" t="s">
        <v>53</v>
      </c>
      <c r="G21" s="1" t="s">
        <v>15</v>
      </c>
      <c r="H21" s="1">
        <v>350</v>
      </c>
      <c r="I21" s="1" t="s">
        <v>16</v>
      </c>
      <c r="J21" s="1" t="s">
        <v>16</v>
      </c>
      <c r="K21" s="1" t="s">
        <v>16</v>
      </c>
      <c r="L21" s="1"/>
      <c r="M21" s="1">
        <f t="shared" si="0"/>
        <v>350</v>
      </c>
    </row>
    <row r="22" spans="1:13" x14ac:dyDescent="0.25">
      <c r="A22" s="1" t="s">
        <v>39</v>
      </c>
      <c r="B22" s="1" t="s">
        <v>82</v>
      </c>
      <c r="C22" s="2">
        <v>46163</v>
      </c>
      <c r="D22" s="2" t="s">
        <v>13</v>
      </c>
      <c r="E22" s="2">
        <v>46164</v>
      </c>
      <c r="F22" s="1" t="s">
        <v>53</v>
      </c>
      <c r="G22" s="1" t="s">
        <v>15</v>
      </c>
      <c r="H22" s="1">
        <v>350</v>
      </c>
      <c r="I22" s="1" t="s">
        <v>16</v>
      </c>
      <c r="J22" s="1" t="s">
        <v>16</v>
      </c>
      <c r="K22" s="1" t="s">
        <v>16</v>
      </c>
      <c r="L22" s="1"/>
      <c r="M22" s="1">
        <f t="shared" si="0"/>
        <v>350</v>
      </c>
    </row>
    <row r="23" spans="1:13" x14ac:dyDescent="0.25">
      <c r="A23" s="1" t="s">
        <v>40</v>
      </c>
      <c r="B23" s="1" t="s">
        <v>83</v>
      </c>
      <c r="C23" s="2">
        <v>46163</v>
      </c>
      <c r="D23" s="2" t="s">
        <v>13</v>
      </c>
      <c r="E23" s="2">
        <v>46168</v>
      </c>
      <c r="F23" s="1" t="s">
        <v>84</v>
      </c>
      <c r="G23" s="1" t="s">
        <v>15</v>
      </c>
      <c r="H23" s="1">
        <v>350</v>
      </c>
      <c r="I23" s="1" t="s">
        <v>18</v>
      </c>
      <c r="J23" s="1" t="s">
        <v>16</v>
      </c>
      <c r="K23" s="1" t="s">
        <v>16</v>
      </c>
      <c r="L23" s="1">
        <v>45</v>
      </c>
      <c r="M23" s="1">
        <f t="shared" si="0"/>
        <v>395</v>
      </c>
    </row>
    <row r="24" spans="1:13" x14ac:dyDescent="0.25">
      <c r="A24" s="1" t="s">
        <v>41</v>
      </c>
      <c r="B24" s="1" t="s">
        <v>85</v>
      </c>
      <c r="C24" s="2">
        <v>46164</v>
      </c>
      <c r="D24" s="2" t="s">
        <v>13</v>
      </c>
      <c r="E24" s="2">
        <v>46169</v>
      </c>
      <c r="F24" s="1" t="s">
        <v>14</v>
      </c>
      <c r="G24" s="1" t="s">
        <v>15</v>
      </c>
      <c r="H24" s="1">
        <v>350</v>
      </c>
      <c r="I24" s="1" t="s">
        <v>16</v>
      </c>
      <c r="J24" s="1" t="s">
        <v>16</v>
      </c>
      <c r="K24" s="1" t="s">
        <v>16</v>
      </c>
      <c r="L24" s="1"/>
      <c r="M24" s="1">
        <f t="shared" si="0"/>
        <v>350</v>
      </c>
    </row>
    <row r="25" spans="1:13" x14ac:dyDescent="0.25">
      <c r="A25" s="1" t="s">
        <v>42</v>
      </c>
      <c r="B25" s="1" t="s">
        <v>86</v>
      </c>
      <c r="C25" s="2">
        <v>46164</v>
      </c>
      <c r="D25" s="2" t="s">
        <v>13</v>
      </c>
      <c r="E25" s="2">
        <v>46169</v>
      </c>
      <c r="F25" s="1" t="s">
        <v>78</v>
      </c>
      <c r="G25" s="1" t="s">
        <v>15</v>
      </c>
      <c r="H25" s="1">
        <v>350</v>
      </c>
      <c r="I25" s="1" t="s">
        <v>16</v>
      </c>
      <c r="J25" s="1" t="s">
        <v>16</v>
      </c>
      <c r="K25" s="1" t="s">
        <v>16</v>
      </c>
      <c r="L25" s="1"/>
      <c r="M25" s="1">
        <f t="shared" si="0"/>
        <v>350</v>
      </c>
    </row>
    <row r="26" spans="1:13" x14ac:dyDescent="0.25">
      <c r="A26" s="1" t="s">
        <v>43</v>
      </c>
      <c r="B26" s="1" t="s">
        <v>87</v>
      </c>
      <c r="C26" s="2">
        <v>46164</v>
      </c>
      <c r="D26" s="2" t="s">
        <v>13</v>
      </c>
      <c r="E26" s="2">
        <v>46169</v>
      </c>
      <c r="F26" s="1" t="s">
        <v>14</v>
      </c>
      <c r="G26" s="1" t="s">
        <v>15</v>
      </c>
      <c r="H26" s="1">
        <v>350</v>
      </c>
      <c r="I26" s="1" t="s">
        <v>16</v>
      </c>
      <c r="J26" s="1" t="s">
        <v>16</v>
      </c>
      <c r="K26" s="1" t="s">
        <v>16</v>
      </c>
      <c r="L26" s="1"/>
      <c r="M26" s="1">
        <f t="shared" si="0"/>
        <v>350</v>
      </c>
    </row>
    <row r="27" spans="1:13" x14ac:dyDescent="0.25">
      <c r="A27" s="1" t="s">
        <v>44</v>
      </c>
      <c r="B27" s="1" t="s">
        <v>88</v>
      </c>
      <c r="C27" s="2">
        <v>46169</v>
      </c>
      <c r="D27" s="2" t="s">
        <v>13</v>
      </c>
      <c r="E27" s="2">
        <v>46169</v>
      </c>
      <c r="F27" s="1" t="s">
        <v>57</v>
      </c>
      <c r="G27" s="1" t="s">
        <v>15</v>
      </c>
      <c r="H27" s="1">
        <v>350</v>
      </c>
      <c r="I27" s="1" t="s">
        <v>16</v>
      </c>
      <c r="J27" s="1" t="s">
        <v>16</v>
      </c>
      <c r="K27" s="1" t="s">
        <v>16</v>
      </c>
      <c r="L27" s="1"/>
      <c r="M27" s="1">
        <f t="shared" si="0"/>
        <v>350</v>
      </c>
    </row>
    <row r="28" spans="1:13" x14ac:dyDescent="0.25">
      <c r="A28" s="1" t="s">
        <v>45</v>
      </c>
      <c r="B28" s="1" t="s">
        <v>89</v>
      </c>
      <c r="C28" s="2">
        <v>46169</v>
      </c>
      <c r="D28" s="2" t="s">
        <v>13</v>
      </c>
      <c r="E28" s="2">
        <v>46170</v>
      </c>
      <c r="F28" s="1" t="s">
        <v>53</v>
      </c>
      <c r="G28" s="1" t="s">
        <v>15</v>
      </c>
      <c r="H28" s="1">
        <v>350</v>
      </c>
      <c r="I28" s="1" t="s">
        <v>16</v>
      </c>
      <c r="J28" s="1" t="s">
        <v>16</v>
      </c>
      <c r="K28" s="1" t="s">
        <v>16</v>
      </c>
      <c r="L28" s="1"/>
      <c r="M28" s="1">
        <f t="shared" si="0"/>
        <v>350</v>
      </c>
    </row>
    <row r="29" spans="1:13" x14ac:dyDescent="0.25">
      <c r="A29" s="1" t="s">
        <v>46</v>
      </c>
      <c r="B29" s="1" t="s">
        <v>90</v>
      </c>
      <c r="C29" s="2">
        <v>46169</v>
      </c>
      <c r="D29" s="2" t="s">
        <v>13</v>
      </c>
      <c r="E29" s="2">
        <v>46170</v>
      </c>
      <c r="F29" s="1" t="s">
        <v>91</v>
      </c>
      <c r="G29" s="1" t="s">
        <v>15</v>
      </c>
      <c r="H29" s="1">
        <v>350</v>
      </c>
      <c r="I29" s="1" t="s">
        <v>16</v>
      </c>
      <c r="J29" s="1" t="s">
        <v>16</v>
      </c>
      <c r="K29" s="1" t="s">
        <v>16</v>
      </c>
      <c r="L29" s="1"/>
      <c r="M29" s="1">
        <f t="shared" si="0"/>
        <v>350</v>
      </c>
    </row>
    <row r="30" spans="1:13" x14ac:dyDescent="0.25">
      <c r="A30" s="1" t="s">
        <v>47</v>
      </c>
      <c r="B30" s="1" t="s">
        <v>92</v>
      </c>
      <c r="C30" s="2">
        <v>46169</v>
      </c>
      <c r="D30" s="2" t="s">
        <v>13</v>
      </c>
      <c r="E30" s="2">
        <v>46170</v>
      </c>
      <c r="F30" s="1" t="s">
        <v>14</v>
      </c>
      <c r="G30" s="1" t="s">
        <v>15</v>
      </c>
      <c r="H30" s="1">
        <v>350</v>
      </c>
      <c r="I30" s="1" t="s">
        <v>16</v>
      </c>
      <c r="J30" s="1" t="s">
        <v>16</v>
      </c>
      <c r="K30" s="1" t="s">
        <v>16</v>
      </c>
      <c r="L30" s="1"/>
      <c r="M30" s="1">
        <f t="shared" si="0"/>
        <v>350</v>
      </c>
    </row>
    <row r="31" spans="1:13" x14ac:dyDescent="0.25">
      <c r="A31" s="1" t="s">
        <v>48</v>
      </c>
      <c r="B31" s="1" t="s">
        <v>93</v>
      </c>
      <c r="C31" s="2">
        <v>46169</v>
      </c>
      <c r="D31" s="2" t="s">
        <v>13</v>
      </c>
      <c r="E31" s="2">
        <v>46171</v>
      </c>
      <c r="F31" s="1" t="s">
        <v>94</v>
      </c>
      <c r="G31" s="1" t="s">
        <v>15</v>
      </c>
      <c r="H31" s="1">
        <v>350</v>
      </c>
      <c r="I31" s="1" t="s">
        <v>16</v>
      </c>
      <c r="J31" s="1" t="s">
        <v>16</v>
      </c>
      <c r="K31" s="1" t="s">
        <v>16</v>
      </c>
      <c r="L31" s="1"/>
      <c r="M31" s="1">
        <f t="shared" si="0"/>
        <v>350</v>
      </c>
    </row>
    <row r="32" spans="1:13" x14ac:dyDescent="0.25">
      <c r="A32" s="1" t="s">
        <v>49</v>
      </c>
      <c r="B32" s="1" t="s">
        <v>95</v>
      </c>
      <c r="C32" s="2">
        <v>46170</v>
      </c>
      <c r="D32" s="2" t="s">
        <v>13</v>
      </c>
      <c r="E32" s="2">
        <v>46171</v>
      </c>
      <c r="F32" s="1" t="s">
        <v>96</v>
      </c>
      <c r="G32" s="1" t="s">
        <v>15</v>
      </c>
      <c r="H32" s="1">
        <v>350</v>
      </c>
      <c r="I32" s="1" t="s">
        <v>18</v>
      </c>
      <c r="J32" s="1" t="s">
        <v>16</v>
      </c>
      <c r="K32" s="1" t="s">
        <v>16</v>
      </c>
      <c r="L32" s="1">
        <v>45</v>
      </c>
      <c r="M32" s="1">
        <f t="shared" si="0"/>
        <v>395</v>
      </c>
    </row>
  </sheetData>
  <conditionalFormatting sqref="A12:A32 A2:A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2026-04-15T12:31:11Z</dcterms:created>
  <dcterms:modified xsi:type="dcterms:W3CDTF">2026-06-04T16:08:05Z</dcterms:modified>
</cp:coreProperties>
</file>