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firstSheet="5" activeTab="5"/>
  </bookViews>
  <sheets>
    <sheet name="Sheet1" sheetId="1" r:id="rId1"/>
    <sheet name="Sheet2" sheetId="2" r:id="rId2"/>
    <sheet name="Sheet3" sheetId="3" r:id="rId3"/>
    <sheet name="Invoice" sheetId="4" r:id="rId4"/>
    <sheet name="Pricing Details" sheetId="5" r:id="rId5"/>
    <sheet name="Evaluation Warning" sheetId="6" r:id="rId6"/>
  </sheets>
  <definedNames/>
  <calcPr fullCalcOnLoad="1"/>
</workbook>
</file>

<file path=xl/sharedStrings.xml><?xml version="1.0" encoding="utf-8"?>
<sst xmlns="http://schemas.openxmlformats.org/spreadsheetml/2006/main" count="121" uniqueCount="77">
  <si>
    <t>Client Name</t>
  </si>
  <si>
    <t>Client Address</t>
  </si>
  <si>
    <t>Contact Person</t>
  </si>
  <si>
    <t>Client Contact 1</t>
  </si>
  <si>
    <t>Client Contact 2</t>
  </si>
  <si>
    <t>Client Contact 3</t>
  </si>
  <si>
    <t>Deal Name</t>
  </si>
  <si>
    <t>Radian Group Inc</t>
  </si>
  <si>
    <t>Test</t>
  </si>
  <si>
    <t>test@test.com</t>
  </si>
  <si>
    <t>Radian Group Inc Non-QM March 2026</t>
  </si>
  <si>
    <t>Total Loan Count</t>
  </si>
  <si>
    <t>Loan File Review</t>
  </si>
  <si>
    <t>Loan Count (CDA)</t>
  </si>
  <si>
    <t>Price</t>
  </si>
  <si>
    <t>Total</t>
  </si>
  <si>
    <t>Loan Count (Third Party Products - Admin Fee)</t>
  </si>
  <si>
    <t>Loan Count (Credit, Property and Compliance Review (Agency))</t>
  </si>
  <si>
    <t>Loan Count (Agency Business Purpose Investor)</t>
  </si>
  <si>
    <t>Total Invoice Amount</t>
  </si>
  <si>
    <t>Loan #</t>
  </si>
  <si>
    <t>Created Date</t>
  </si>
  <si>
    <t>Snapshot Date</t>
  </si>
  <si>
    <t>Agency Business Purpose Investor</t>
  </si>
  <si>
    <t>Credit, Property and Compliance Review (Agency)</t>
  </si>
  <si>
    <t>AVM</t>
  </si>
  <si>
    <t>CDA</t>
  </si>
  <si>
    <t>BPO</t>
  </si>
  <si>
    <t>Jumbo/ Non-QM</t>
  </si>
  <si>
    <t>7002324</t>
  </si>
  <si>
    <t>03/17/2026</t>
  </si>
  <si>
    <t>03/18/2026</t>
  </si>
  <si>
    <t/>
  </si>
  <si>
    <t>Spire.XLS for .NET</t>
  </si>
  <si>
    <t>1578852</t>
  </si>
  <si>
    <t>03/05/2026</t>
  </si>
  <si>
    <t>03/06/2026</t>
  </si>
  <si>
    <t>e-iceblue Inc. 2002-2026 All rights reserverd</t>
  </si>
  <si>
    <t>7002320</t>
  </si>
  <si>
    <t>03/16/2026</t>
  </si>
  <si>
    <t>7002335</t>
  </si>
  <si>
    <t>7002313</t>
  </si>
  <si>
    <t>03/09/2026</t>
  </si>
  <si>
    <t>1578265</t>
  </si>
  <si>
    <t>02/27/2026</t>
  </si>
  <si>
    <t>03/03/2026</t>
  </si>
  <si>
    <t>7002309</t>
  </si>
  <si>
    <t>03/19/2026</t>
  </si>
  <si>
    <t>7002316</t>
  </si>
  <si>
    <t>03/04/2026</t>
  </si>
  <si>
    <t>7002319</t>
  </si>
  <si>
    <t>03/13/2026</t>
  </si>
  <si>
    <t>7002270</t>
  </si>
  <si>
    <t>03/02/2026</t>
  </si>
  <si>
    <t>7002315</t>
  </si>
  <si>
    <t>03/10/2026</t>
  </si>
  <si>
    <t>7002295</t>
  </si>
  <si>
    <t>03/12/2026</t>
  </si>
  <si>
    <t>03/15/2026</t>
  </si>
  <si>
    <t>7002325</t>
  </si>
  <si>
    <t>7002302</t>
  </si>
  <si>
    <t>03/20/2026</t>
  </si>
  <si>
    <t>03/24/2026</t>
  </si>
  <si>
    <t>7002305</t>
  </si>
  <si>
    <t>03/11/2026</t>
  </si>
  <si>
    <t>7002279</t>
  </si>
  <si>
    <t>7002253</t>
  </si>
  <si>
    <t>7002338</t>
  </si>
  <si>
    <t>03/25/2026</t>
  </si>
  <si>
    <t>7002314</t>
  </si>
  <si>
    <t>03/27/2026</t>
  </si>
  <si>
    <t>Home page</t>
  </si>
  <si>
    <t>https://www.e-iceblue.com</t>
  </si>
  <si>
    <t>Contact US</t>
  </si>
  <si>
    <t>mailto:support@e-iceblue.com</t>
  </si>
  <si>
    <t>Buy Now!</t>
  </si>
  <si>
    <t>https://www.e-iceblue.com/Buy/Spire.XLS.html</t>
  </si>
</sst>
</file>

<file path=xl/styles.xml><?xml version="1.0" encoding="utf-8"?>
<styleSheet xmlns="http://schemas.openxmlformats.org/spreadsheetml/2006/main">
  <numFmts count="2">
    <numFmt numFmtId="177" formatCode="$#,##0.00"/>
    <numFmt numFmtId="178" formatCode="$#,##0"/>
  </numFmts>
  <fonts count="6">
    <font>
      <sz val="9"/>
      <name val="biome"/>
      <family val="2"/>
    </font>
    <font>
      <sz val="10"/>
      <name val="Arial"/>
      <family val="2"/>
    </font>
    <font>
      <b/>
      <sz val="9"/>
      <name val="biome"/>
      <family val="2"/>
    </font>
    <font>
      <sz val="9"/>
      <color rgb="FFFFFFFF"/>
      <name val="biome"/>
      <family val="2"/>
    </font>
    <font>
      <b/>
      <sz val="9"/>
      <color rgb="FFFFFFFF"/>
      <name val="biome"/>
      <family val="2"/>
    </font>
    <font>
      <u val="single"/>
      <sz val="9"/>
      <color rgb="FF0000FF"/>
      <name val="biome"/>
      <family val="2"/>
    </font>
  </fonts>
  <fills count="7">
    <fill>
      <patternFill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7193D1"/>
        <bgColor indexed="64"/>
      </patternFill>
    </fill>
    <fill>
      <patternFill patternType="solid">
        <fgColor rgb="FF1F497D"/>
        <bgColor indexed="64"/>
      </patternFill>
    </fill>
  </fills>
  <borders count="13">
    <border>
      <left/>
      <right/>
      <top/>
      <bottom/>
      <diagonal/>
    </border>
    <border diagonalUp="1" diagonalDown="1">
      <left/>
      <right/>
      <top/>
      <bottom style="thin"/>
      <diagonal style="thin"/>
    </border>
    <border diagonalUp="1" diagonalDown="1">
      <left style="thin"/>
      <right style="thin"/>
      <top/>
      <bottom style="thin"/>
      <diagonal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1" diagonalDown="1">
      <left style="thin"/>
      <right style="thin"/>
      <top style="thin"/>
      <bottom style="thin"/>
      <diagonal style="thin"/>
    </border>
    <border diagonalUp="1" diagonalDown="1">
      <left style="thin"/>
      <right/>
      <top/>
      <bottom style="thin"/>
      <diagonal style="thin"/>
    </border>
    <border diagonalDown="1">
      <left/>
      <right/>
      <top/>
      <bottom style="thin"/>
      <diagonal style="thin"/>
    </border>
    <border>
      <left/>
      <right/>
      <top/>
      <bottom style="thin"/>
    </border>
    <border diagonalDown="1"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</border>
    <border>
      <left style="thin">
        <color rgb="FF000000"/>
      </left>
      <right style="thin">
        <color rgb="FF000000"/>
      </right>
      <top style="thin"/>
      <bottom style="thin">
        <color rgb="FF000000"/>
      </bottom>
    </border>
    <border>
      <left style="thin"/>
      <right style="thin"/>
      <top style="thin"/>
      <bottom style="thin">
        <color rgb="FF000000"/>
      </bottom>
    </border>
    <border>
      <left style="thin">
        <color rgb="FF000000"/>
      </left>
      <right style="thin"/>
      <top style="thin"/>
      <bottom style="thin">
        <color rgb="FF000000"/>
      </bottom>
    </border>
  </borders>
  <cellStyleXfs count="21">
    <xf numFmtId="0" fontId="1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>
      <alignment/>
      <protection/>
    </xf>
  </cellStyleXfs>
  <cellXfs count="65">
    <xf numFmtId="0" fontId="0" fillId="0" borderId="0" xfId="0" applyFont="1"/>
    <xf numFmtId="0" fontId="0" fillId="2" borderId="1" xfId="0" applyFont="1" applyFill="1" applyBorder="1"/>
    <xf numFmtId="0" fontId="2" fillId="2" borderId="2" xfId="0" applyFont="1" applyFill="1" applyBorder="1"/>
    <xf numFmtId="0" fontId="0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4" fillId="3" borderId="2" xfId="0" applyFont="1" applyFill="1" applyBorder="1" applyAlignment="1">
      <alignment horizontal="center"/>
    </xf>
    <xf numFmtId="178" fontId="0" fillId="2" borderId="1" xfId="0" applyNumberFormat="1" applyFont="1" applyFill="1" applyBorder="1"/>
    <xf numFmtId="178" fontId="4" fillId="4" borderId="3" xfId="0" applyNumberFormat="1" applyFont="1" applyFill="1" applyBorder="1"/>
    <xf numFmtId="0" fontId="4" fillId="4" borderId="3" xfId="0" applyFont="1" applyFill="1" applyBorder="1"/>
    <xf numFmtId="0" fontId="0" fillId="0" borderId="4" xfId="0" applyFont="1" applyBorder="1"/>
    <xf numFmtId="0" fontId="0" fillId="0" borderId="2" xfId="0" applyFont="1" applyBorder="1"/>
    <xf numFmtId="0" fontId="0" fillId="0" borderId="5" xfId="0" applyFont="1" applyBorder="1"/>
    <xf numFmtId="0" fontId="0" fillId="0" borderId="1" xfId="0" applyFont="1" applyBorder="1"/>
    <xf numFmtId="0" fontId="0" fillId="0" borderId="6" xfId="0" applyFont="1" applyBorder="1"/>
    <xf numFmtId="0" fontId="0" fillId="0" borderId="7" xfId="0" applyFont="1" applyBorder="1"/>
    <xf numFmtId="0" fontId="2" fillId="2" borderId="4" xfId="0" applyFont="1" applyFill="1" applyBorder="1"/>
    <xf numFmtId="0" fontId="4" fillId="3" borderId="4" xfId="0" applyFont="1" applyFill="1" applyBorder="1" applyAlignment="1">
      <alignment horizontal="center"/>
    </xf>
    <xf numFmtId="0" fontId="0" fillId="2" borderId="4" xfId="0" applyFont="1" applyFill="1" applyBorder="1"/>
    <xf numFmtId="178" fontId="0" fillId="2" borderId="4" xfId="0" applyNumberFormat="1" applyFont="1" applyFill="1" applyBorder="1"/>
    <xf numFmtId="0" fontId="0" fillId="2" borderId="2" xfId="0" applyFont="1" applyFill="1" applyBorder="1"/>
    <xf numFmtId="178" fontId="0" fillId="2" borderId="2" xfId="0" applyNumberFormat="1" applyFont="1" applyFill="1" applyBorder="1"/>
    <xf numFmtId="0" fontId="0" fillId="2" borderId="5" xfId="0" applyFont="1" applyFill="1" applyBorder="1"/>
    <xf numFmtId="178" fontId="0" fillId="2" borderId="5" xfId="0" applyNumberFormat="1" applyFont="1" applyFill="1" applyBorder="1"/>
    <xf numFmtId="0" fontId="0" fillId="0" borderId="8" xfId="0" applyFont="1" applyBorder="1"/>
    <xf numFmtId="0" fontId="2" fillId="2" borderId="8" xfId="0" applyFont="1" applyFill="1" applyBorder="1"/>
    <xf numFmtId="0" fontId="4" fillId="3" borderId="8" xfId="0" applyFont="1" applyFill="1" applyBorder="1" applyAlignment="1">
      <alignment horizontal="center"/>
    </xf>
    <xf numFmtId="0" fontId="0" fillId="2" borderId="8" xfId="0" applyFont="1" applyFill="1" applyBorder="1"/>
    <xf numFmtId="178" fontId="0" fillId="2" borderId="8" xfId="0" applyNumberFormat="1" applyFont="1" applyFill="1" applyBorder="1"/>
    <xf numFmtId="0" fontId="0" fillId="0" borderId="9" xfId="0" applyFont="1" applyBorder="1"/>
    <xf numFmtId="0" fontId="2" fillId="2" borderId="10" xfId="0" applyFont="1" applyFill="1" applyBorder="1"/>
    <xf numFmtId="0" fontId="4" fillId="3" borderId="10" xfId="0" applyFont="1" applyFill="1" applyBorder="1" applyAlignment="1">
      <alignment horizontal="center"/>
    </xf>
    <xf numFmtId="0" fontId="0" fillId="2" borderId="11" xfId="0" applyFont="1" applyFill="1" applyBorder="1"/>
    <xf numFmtId="178" fontId="0" fillId="2" borderId="11" xfId="0" applyNumberFormat="1" applyFont="1" applyFill="1" applyBorder="1"/>
    <xf numFmtId="0" fontId="0" fillId="0" borderId="3" xfId="0" applyFont="1" applyBorder="1"/>
    <xf numFmtId="0" fontId="0" fillId="0" borderId="10" xfId="0" applyFont="1" applyBorder="1"/>
    <xf numFmtId="0" fontId="0" fillId="0" borderId="12" xfId="0" applyFont="1" applyBorder="1"/>
    <xf numFmtId="0" fontId="0" fillId="0" borderId="11" xfId="0" applyFont="1" applyBorder="1"/>
    <xf numFmtId="0" fontId="2" fillId="2" borderId="3" xfId="0" applyFont="1" applyFill="1" applyBorder="1"/>
    <xf numFmtId="0" fontId="4" fillId="3" borderId="3" xfId="0" applyFont="1" applyFill="1" applyBorder="1" applyAlignment="1">
      <alignment horizontal="center"/>
    </xf>
    <xf numFmtId="0" fontId="0" fillId="2" borderId="3" xfId="0" applyFont="1" applyFill="1" applyBorder="1"/>
    <xf numFmtId="178" fontId="0" fillId="2" borderId="3" xfId="0" applyNumberFormat="1" applyFont="1" applyFill="1" applyBorder="1"/>
    <xf numFmtId="0" fontId="0" fillId="2" borderId="10" xfId="0" applyFont="1" applyFill="1" applyBorder="1"/>
    <xf numFmtId="178" fontId="0" fillId="2" borderId="10" xfId="0" applyNumberFormat="1" applyFont="1" applyFill="1" applyBorder="1"/>
    <xf numFmtId="0" fontId="0" fillId="2" borderId="12" xfId="0" applyFont="1" applyFill="1" applyBorder="1"/>
    <xf numFmtId="178" fontId="0" fillId="2" borderId="12" xfId="0" applyNumberFormat="1" applyFont="1" applyFill="1" applyBorder="1"/>
    <xf numFmtId="0" fontId="0" fillId="5" borderId="9" xfId="0" applyFont="1" applyFill="1" applyBorder="1"/>
    <xf numFmtId="0" fontId="3" fillId="5" borderId="9" xfId="0" applyFont="1" applyFill="1" applyBorder="1"/>
    <xf numFmtId="0" fontId="3" fillId="5" borderId="9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0" fillId="0" borderId="9" xfId="0" applyFont="1" applyBorder="1" applyAlignment="1">
      <alignment horizontal="center"/>
    </xf>
    <xf numFmtId="177" fontId="4" fillId="5" borderId="9" xfId="0" applyNumberFormat="1" applyFont="1" applyFill="1" applyBorder="1" applyAlignment="1">
      <alignment horizontal="center"/>
    </xf>
    <xf numFmtId="177" fontId="0" fillId="0" borderId="9" xfId="0" applyNumberFormat="1" applyFont="1" applyBorder="1" applyAlignment="1">
      <alignment horizontal="center"/>
    </xf>
    <xf numFmtId="177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/>
    <xf numFmtId="177" fontId="2" fillId="0" borderId="0" xfId="0" applyNumberFormat="1" applyFont="1" applyAlignment="1">
      <alignment horizontal="center"/>
    </xf>
    <xf numFmtId="0" fontId="2" fillId="6" borderId="0" xfId="0" applyFont="1" applyFill="1"/>
    <xf numFmtId="177" fontId="2" fillId="6" borderId="0" xfId="0" applyNumberFormat="1" applyFont="1" applyFill="1" applyAlignment="1">
      <alignment horizontal="center"/>
    </xf>
    <xf numFmtId="0" fontId="4" fillId="6" borderId="0" xfId="0" applyFont="1" applyFill="1"/>
    <xf numFmtId="177" fontId="4" fillId="6" borderId="0" xfId="0" applyNumberFormat="1" applyFont="1" applyFill="1" applyAlignment="1">
      <alignment horizontal="center"/>
    </xf>
    <xf numFmtId="0" fontId="5" fillId="0" borderId="0" xfId="20">
      <alignment/>
      <protection/>
    </xf>
    <xf numFmtId="0" fontId="5" fillId="0" borderId="0" xfId="0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9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3238500</xdr:colOff>
      <xdr:row>1</xdr:row>
      <xdr:rowOff>0</xdr:rowOff>
    </xdr:to>
    <xdr:pic>
      <xdr:nvPicPr>
        <xdr:cNvPr id="1" name="logo-canopy"/>
        <xdr:cNvPicPr preferRelativeResize="1"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238500" cy="1143000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hyperlink" Target="https://www.e-iceblue.com" TargetMode="External" /><Relationship Id="rId2" Type="http://schemas.openxmlformats.org/officeDocument/2006/relationships/hyperlink" Target="mailto:support@e-iceblue.com" TargetMode="External" /><Relationship Id="rId3" Type="http://schemas.openxmlformats.org/officeDocument/2006/relationships/hyperlink" Target="https://www.e-iceblue.com/Buy/Spire.XLS.htm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RowHeight="12"/>
  <sheetData/>
  <printOptions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RowHeight="12"/>
  <sheetData/>
  <printOptions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RowHeight="12"/>
  <sheetData/>
  <printOptions/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8"/>
  <sheetViews>
    <sheetView workbookViewId="0" topLeftCell="A1"/>
  </sheetViews>
  <sheetFormatPr defaultColWidth="9.28515625" defaultRowHeight="12"/>
  <cols>
    <col min="1" max="1" width="52.7109375" customWidth="1"/>
    <col min="2" max="2" width="60.7109375" customWidth="1"/>
  </cols>
  <sheetData>
    <row r="1" spans="1:2" ht="90" customHeight="1">
      <c r="A1" s="34"/>
      <c r="B1" s="34"/>
    </row>
    <row r="2" spans="1:2" ht="12">
      <c r="A2" s="34" t="s">
        <v>0</v>
      </c>
      <c r="B2" s="34" t="s">
        <v>7</v>
      </c>
    </row>
    <row r="3" spans="1:2" ht="12">
      <c r="A3" s="34" t="s">
        <v>1</v>
      </c>
      <c r="B3" s="34" t="s">
        <v>8</v>
      </c>
    </row>
    <row r="4" spans="1:2" ht="12">
      <c r="A4" s="34" t="s">
        <v>2</v>
      </c>
      <c r="B4" s="34" t="s">
        <v>7</v>
      </c>
    </row>
    <row r="5" spans="1:2" ht="12">
      <c r="A5" s="34" t="s">
        <v>3</v>
      </c>
      <c r="B5" s="34" t="s">
        <v>9</v>
      </c>
    </row>
    <row r="6" spans="1:2" ht="12">
      <c r="A6" s="34" t="s">
        <v>4</v>
      </c>
      <c r="B6" s="34" t="str">
        <v/>
      </c>
    </row>
    <row r="7" spans="1:2" ht="12">
      <c r="A7" s="34" t="s">
        <v>5</v>
      </c>
      <c r="B7" s="34" t="str">
        <v/>
      </c>
    </row>
    <row r="8" spans="1:2" ht="12">
      <c r="A8" s="34" t="s">
        <v>6</v>
      </c>
      <c r="B8" s="34" t="s">
        <v>10</v>
      </c>
    </row>
    <row r="9" spans="1:2" ht="12">
      <c r="A9" s="34"/>
      <c r="B9" s="34"/>
    </row>
    <row r="10" spans="1:2" ht="12">
      <c r="A10" s="38" t="s">
        <v>11</v>
      </c>
      <c r="B10" s="38">
        <v>19</v>
      </c>
    </row>
    <row r="11" spans="1:2" ht="12" customHeight="1">
      <c r="A11" s="39" t="s">
        <v>12</v>
      </c>
      <c r="B11" s="39" t="s">
        <v>12</v>
      </c>
    </row>
    <row r="12" spans="1:2" ht="12">
      <c r="A12" s="34" t="s">
        <v>13</v>
      </c>
      <c r="B12" s="34">
        <v>1</v>
      </c>
    </row>
    <row r="13" spans="1:2" ht="12">
      <c r="A13" s="34" t="s">
        <v>14</v>
      </c>
      <c r="B13" s="34">
        <v>145</v>
      </c>
    </row>
    <row r="14" spans="1:2" ht="12">
      <c r="A14" s="40" t="s">
        <v>15</v>
      </c>
      <c r="B14" s="41">
        <v>145</v>
      </c>
    </row>
    <row r="15" spans="1:2" ht="12">
      <c r="A15" s="34"/>
      <c r="B15" s="34"/>
    </row>
    <row r="16" spans="1:2" ht="12">
      <c r="A16" s="34" t="s">
        <v>16</v>
      </c>
      <c r="B16" s="34">
        <v>1</v>
      </c>
    </row>
    <row r="17" spans="1:2" ht="12">
      <c r="A17" s="34" t="s">
        <v>14</v>
      </c>
      <c r="B17" s="34">
        <v>7.25</v>
      </c>
    </row>
    <row r="18" spans="1:2" ht="12">
      <c r="A18" s="40" t="s">
        <v>15</v>
      </c>
      <c r="B18" s="41">
        <v>7.25</v>
      </c>
    </row>
    <row r="19" spans="1:2" ht="12">
      <c r="A19" s="34"/>
      <c r="B19" s="34"/>
    </row>
    <row r="20" spans="1:2" ht="12">
      <c r="A20" s="34" t="s">
        <v>17</v>
      </c>
      <c r="B20" s="34">
        <v>18</v>
      </c>
    </row>
    <row r="21" spans="1:2" ht="12">
      <c r="A21" s="34" t="s">
        <v>14</v>
      </c>
      <c r="B21" s="34">
        <v>375</v>
      </c>
    </row>
    <row r="22" spans="1:2" ht="12">
      <c r="A22" s="40" t="s">
        <v>15</v>
      </c>
      <c r="B22" s="41">
        <v>6750</v>
      </c>
    </row>
    <row r="23" spans="1:2" ht="12">
      <c r="A23" s="34"/>
      <c r="B23" s="34"/>
    </row>
    <row r="24" spans="1:2" ht="12">
      <c r="A24" s="34" t="s">
        <v>18</v>
      </c>
      <c r="B24" s="34">
        <v>1</v>
      </c>
    </row>
    <row r="25" spans="1:2" ht="12">
      <c r="A25" s="34" t="s">
        <v>14</v>
      </c>
      <c r="B25" s="34">
        <v>400</v>
      </c>
    </row>
    <row r="26" spans="1:2" ht="12">
      <c r="A26" s="40" t="s">
        <v>15</v>
      </c>
      <c r="B26" s="41">
        <v>400</v>
      </c>
    </row>
    <row r="27" spans="1:2" ht="12">
      <c r="A27" s="34"/>
      <c r="B27" s="34"/>
    </row>
    <row r="28" spans="1:2" ht="12">
      <c r="A28" s="9" t="s">
        <v>19</v>
      </c>
      <c r="B28" s="8">
        <v>7302.25</v>
      </c>
    </row>
  </sheetData>
  <mergeCells count="2">
    <mergeCell ref="A1:B1"/>
    <mergeCell ref="A11:B11"/>
  </mergeCells>
  <printOptions/>
  <pageMargins left="0.75" right="0.75" top="1" bottom="1" header="0.5" footer="0.5"/>
  <pageSetup orientation="portrait" paperSize="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1"/>
  <sheetViews>
    <sheetView workbookViewId="0" topLeftCell="A1"/>
  </sheetViews>
  <sheetFormatPr defaultColWidth="9.28515625" defaultRowHeight="12"/>
  <cols>
    <col min="1" max="1" width="8.57421875" bestFit="1" customWidth="1"/>
    <col min="2" max="2" width="12.00390625" bestFit="1" customWidth="1"/>
    <col min="3" max="3" width="13.421875" bestFit="1" customWidth="1"/>
    <col min="4" max="4" width="29.00390625" bestFit="1" customWidth="1"/>
    <col min="5" max="5" width="41.421875" bestFit="1" customWidth="1"/>
    <col min="6" max="6" width="5.00390625" bestFit="1" customWidth="1"/>
    <col min="7" max="7" width="4.8515625" bestFit="1" customWidth="1"/>
    <col min="8" max="8" width="5.00390625" bestFit="1" customWidth="1"/>
    <col min="9" max="9" width="14.8515625" bestFit="1" customWidth="1"/>
  </cols>
  <sheetData>
    <row r="1" spans="1:9" ht="12">
      <c r="A1" s="49" t="s">
        <v>20</v>
      </c>
      <c r="B1" s="49" t="s">
        <v>21</v>
      </c>
      <c r="C1" s="49" t="s">
        <v>22</v>
      </c>
      <c r="D1" s="53" t="s">
        <v>23</v>
      </c>
      <c r="E1" s="53" t="s">
        <v>24</v>
      </c>
      <c r="F1" s="53" t="s">
        <v>25</v>
      </c>
      <c r="G1" s="53" t="s">
        <v>26</v>
      </c>
      <c r="H1" s="53" t="s">
        <v>27</v>
      </c>
      <c r="I1" s="53" t="s">
        <v>28</v>
      </c>
    </row>
    <row r="2" spans="1:9" ht="12">
      <c r="A2" s="52" t="s">
        <v>29</v>
      </c>
      <c r="B2" s="52" t="s">
        <v>30</v>
      </c>
      <c r="C2" s="52" t="s">
        <v>31</v>
      </c>
      <c r="D2" s="54" t="s">
        <v>32</v>
      </c>
      <c r="E2" s="54">
        <v>375</v>
      </c>
      <c r="F2" s="54"/>
      <c r="G2" s="54"/>
      <c r="H2" s="54"/>
      <c r="I2" s="54"/>
    </row>
    <row r="3" spans="1:9" ht="12">
      <c r="A3" s="52" t="s">
        <v>34</v>
      </c>
      <c r="B3" s="52" t="s">
        <v>35</v>
      </c>
      <c r="C3" s="52" t="s">
        <v>36</v>
      </c>
      <c r="D3" s="54">
        <v>400</v>
      </c>
      <c r="E3" s="54"/>
      <c r="F3" s="54"/>
      <c r="G3" s="54"/>
      <c r="H3" s="54"/>
      <c r="I3" s="54"/>
    </row>
    <row r="4" spans="1:9" ht="12">
      <c r="A4" s="52" t="s">
        <v>38</v>
      </c>
      <c r="B4" s="52" t="s">
        <v>39</v>
      </c>
      <c r="C4" s="52" t="s">
        <v>30</v>
      </c>
      <c r="D4" s="54" t="s">
        <v>32</v>
      </c>
      <c r="E4" s="54">
        <v>375</v>
      </c>
      <c r="F4" s="54"/>
      <c r="G4" s="54"/>
      <c r="H4" s="54"/>
      <c r="I4" s="54"/>
    </row>
    <row r="5" spans="1:9" ht="12">
      <c r="A5" s="52" t="s">
        <v>40</v>
      </c>
      <c r="B5" s="52" t="s">
        <v>39</v>
      </c>
      <c r="C5" s="52" t="s">
        <v>31</v>
      </c>
      <c r="D5" s="54" t="s">
        <v>32</v>
      </c>
      <c r="E5" s="54">
        <v>375</v>
      </c>
      <c r="F5" s="54"/>
      <c r="G5" s="54"/>
      <c r="H5" s="54"/>
      <c r="I5" s="54"/>
    </row>
    <row r="6" spans="1:9" ht="12">
      <c r="A6" s="52" t="s">
        <v>41</v>
      </c>
      <c r="B6" s="52" t="s">
        <v>35</v>
      </c>
      <c r="C6" s="52" t="s">
        <v>42</v>
      </c>
      <c r="D6" s="54" t="s">
        <v>32</v>
      </c>
      <c r="E6" s="54">
        <v>375</v>
      </c>
      <c r="F6" s="54"/>
      <c r="G6" s="54"/>
      <c r="H6" s="54"/>
      <c r="I6" s="54"/>
    </row>
    <row r="7" spans="1:9" ht="12">
      <c r="A7" s="52" t="s">
        <v>43</v>
      </c>
      <c r="B7" s="52" t="s">
        <v>44</v>
      </c>
      <c r="C7" s="52" t="s">
        <v>45</v>
      </c>
      <c r="D7" s="54" t="s">
        <v>32</v>
      </c>
      <c r="E7" s="54">
        <v>375</v>
      </c>
      <c r="F7" s="54"/>
      <c r="G7" s="54"/>
      <c r="H7" s="54"/>
      <c r="I7" s="54"/>
    </row>
    <row r="8" spans="1:9" ht="12">
      <c r="A8" s="52" t="s">
        <v>46</v>
      </c>
      <c r="B8" s="52" t="s">
        <v>31</v>
      </c>
      <c r="C8" s="52" t="s">
        <v>47</v>
      </c>
      <c r="D8" s="54" t="s">
        <v>32</v>
      </c>
      <c r="E8" s="54">
        <v>375</v>
      </c>
      <c r="F8" s="54"/>
      <c r="G8" s="54"/>
      <c r="H8" s="54"/>
      <c r="I8" s="54"/>
    </row>
    <row r="9" spans="1:9" ht="12">
      <c r="A9" s="52" t="s">
        <v>48</v>
      </c>
      <c r="B9" s="52" t="s">
        <v>49</v>
      </c>
      <c r="C9" s="52" t="s">
        <v>42</v>
      </c>
      <c r="D9" s="54" t="s">
        <v>32</v>
      </c>
      <c r="E9" s="54">
        <v>375</v>
      </c>
      <c r="F9" s="54"/>
      <c r="G9" s="54"/>
      <c r="H9" s="54"/>
      <c r="I9" s="54"/>
    </row>
    <row r="10" spans="1:9" ht="12">
      <c r="A10" s="52" t="s">
        <v>50</v>
      </c>
      <c r="B10" s="52" t="s">
        <v>51</v>
      </c>
      <c r="C10" s="52" t="s">
        <v>30</v>
      </c>
      <c r="D10" s="54" t="s">
        <v>32</v>
      </c>
      <c r="E10" s="54">
        <v>375</v>
      </c>
      <c r="F10" s="54"/>
      <c r="G10" s="54"/>
      <c r="H10" s="54"/>
      <c r="I10" s="54"/>
    </row>
    <row r="11" spans="1:9" ht="12">
      <c r="A11" s="52" t="s">
        <v>52</v>
      </c>
      <c r="B11" s="52" t="s">
        <v>44</v>
      </c>
      <c r="C11" s="52" t="s">
        <v>53</v>
      </c>
      <c r="D11" s="54" t="s">
        <v>32</v>
      </c>
      <c r="E11" s="54">
        <v>375</v>
      </c>
      <c r="F11" s="54"/>
      <c r="G11" s="54"/>
      <c r="H11" s="54"/>
      <c r="I11" s="54"/>
    </row>
    <row r="12" spans="1:9" ht="12">
      <c r="A12" s="52" t="s">
        <v>54</v>
      </c>
      <c r="B12" s="52" t="s">
        <v>36</v>
      </c>
      <c r="C12" s="52" t="s">
        <v>55</v>
      </c>
      <c r="D12" s="54" t="s">
        <v>32</v>
      </c>
      <c r="E12" s="54">
        <v>375</v>
      </c>
      <c r="F12" s="54"/>
      <c r="G12" s="54"/>
      <c r="H12" s="54"/>
      <c r="I12" s="54"/>
    </row>
    <row r="13" spans="1:9" ht="12">
      <c r="A13" s="52" t="s">
        <v>56</v>
      </c>
      <c r="B13" s="52" t="s">
        <v>57</v>
      </c>
      <c r="C13" s="52" t="s">
        <v>58</v>
      </c>
      <c r="D13" s="54" t="s">
        <v>32</v>
      </c>
      <c r="E13" s="54">
        <v>375</v>
      </c>
      <c r="F13" s="54"/>
      <c r="G13" s="54"/>
      <c r="H13" s="54"/>
      <c r="I13" s="54"/>
    </row>
    <row r="14" spans="1:9" ht="12">
      <c r="A14" s="52" t="s">
        <v>59</v>
      </c>
      <c r="B14" s="52" t="s">
        <v>49</v>
      </c>
      <c r="C14" s="52" t="s">
        <v>36</v>
      </c>
      <c r="D14" s="54" t="s">
        <v>32</v>
      </c>
      <c r="E14" s="54">
        <v>375</v>
      </c>
      <c r="F14" s="54"/>
      <c r="G14" s="54"/>
      <c r="H14" s="54"/>
      <c r="I14" s="54"/>
    </row>
    <row r="15" spans="1:9" ht="12">
      <c r="A15" s="52" t="s">
        <v>60</v>
      </c>
      <c r="B15" s="52" t="s">
        <v>61</v>
      </c>
      <c r="C15" s="52" t="s">
        <v>62</v>
      </c>
      <c r="D15" s="54" t="s">
        <v>32</v>
      </c>
      <c r="E15" s="54">
        <v>375</v>
      </c>
      <c r="F15" s="54"/>
      <c r="G15" s="54"/>
      <c r="H15" s="54"/>
      <c r="I15" s="54"/>
    </row>
    <row r="16" spans="1:9" ht="12">
      <c r="A16" s="52" t="s">
        <v>63</v>
      </c>
      <c r="B16" s="52" t="s">
        <v>42</v>
      </c>
      <c r="C16" s="52" t="s">
        <v>64</v>
      </c>
      <c r="D16" s="54" t="s">
        <v>32</v>
      </c>
      <c r="E16" s="54">
        <v>375</v>
      </c>
      <c r="F16" s="54"/>
      <c r="G16" s="54"/>
      <c r="H16" s="54"/>
      <c r="I16" s="54"/>
    </row>
    <row r="17" spans="1:9" ht="12">
      <c r="A17" s="52" t="s">
        <v>65</v>
      </c>
      <c r="B17" s="52" t="s">
        <v>61</v>
      </c>
      <c r="C17" s="52" t="s">
        <v>62</v>
      </c>
      <c r="D17" s="54" t="s">
        <v>32</v>
      </c>
      <c r="E17" s="54">
        <v>375</v>
      </c>
      <c r="F17" s="54"/>
      <c r="G17" s="54"/>
      <c r="H17" s="54"/>
      <c r="I17" s="54"/>
    </row>
    <row r="18" spans="1:9" ht="12">
      <c r="A18" s="52" t="s">
        <v>66</v>
      </c>
      <c r="B18" s="52" t="s">
        <v>35</v>
      </c>
      <c r="C18" s="52" t="s">
        <v>55</v>
      </c>
      <c r="D18" s="54" t="s">
        <v>32</v>
      </c>
      <c r="E18" s="54">
        <v>375</v>
      </c>
      <c r="F18" s="54"/>
      <c r="G18" s="54"/>
      <c r="H18" s="54"/>
      <c r="I18" s="54"/>
    </row>
    <row r="19" spans="1:9" ht="12">
      <c r="A19" s="52" t="s">
        <v>67</v>
      </c>
      <c r="B19" s="52" t="s">
        <v>61</v>
      </c>
      <c r="C19" s="52" t="s">
        <v>68</v>
      </c>
      <c r="D19" s="54" t="s">
        <v>32</v>
      </c>
      <c r="E19" s="54">
        <v>375</v>
      </c>
      <c r="F19" s="54"/>
      <c r="G19" s="54"/>
      <c r="H19" s="54"/>
      <c r="I19" s="54"/>
    </row>
    <row r="20" spans="1:9" ht="12">
      <c r="A20" s="52" t="s">
        <v>69</v>
      </c>
      <c r="B20" s="52" t="s">
        <v>68</v>
      </c>
      <c r="C20" s="52" t="s">
        <v>70</v>
      </c>
      <c r="D20" s="54" t="s">
        <v>32</v>
      </c>
      <c r="E20" s="54">
        <v>375</v>
      </c>
      <c r="F20" s="54"/>
      <c r="G20" s="54"/>
      <c r="H20" s="54"/>
      <c r="I20" s="54"/>
    </row>
    <row r="21" spans="1:9" ht="12">
      <c r="A21" s="61" t="s">
        <v>15</v>
      </c>
      <c r="B21" s="61"/>
      <c r="C21" s="61"/>
      <c r="D21" s="62">
        <f>SUM(D2:D20)</f>
      </c>
      <c r="E21" s="62">
        <f>SUM(E2:E20)</f>
      </c>
      <c r="F21" s="62">
        <f>SUM(F2:F20)</f>
      </c>
      <c r="G21" s="62">
        <f>SUM(G2:G20)</f>
      </c>
      <c r="H21" s="62">
        <f>SUM(H2:H20)</f>
      </c>
      <c r="I21" s="62">
        <f>SUM(I2:I20)</f>
      </c>
    </row>
  </sheetData>
  <printOptions/>
  <pageMargins left="0.75" right="0.75" top="1" bottom="1" header="0.5" footer="0.5"/>
  <pageSetup orientation="portrait" paperSize="9"/>
  <ignoredErrors>
    <ignoredError sqref="D1:I2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1:B11"/>
  <sheetViews>
    <sheetView tabSelected="1" workbookViewId="0" topLeftCell="A1"/>
  </sheetViews>
  <sheetFormatPr defaultColWidth="9.28515625" defaultRowHeight="12"/>
  <sheetData>
    <row r="1" ht="12">
      <c r="B1" s="57" t="s">
        <v>33</v>
      </c>
    </row>
    <row r="2" ht="12">
      <c r="B2" s="57" t="s">
        <v>37</v>
      </c>
    </row>
    <row r="4" ht="12">
      <c r="B4" t="s">
        <v>71</v>
      </c>
    </row>
    <row r="5" ht="12">
      <c r="B5" s="64" t="s">
        <v>72</v>
      </c>
    </row>
    <row r="7" ht="12">
      <c r="B7" t="s">
        <v>73</v>
      </c>
    </row>
    <row r="8" ht="12">
      <c r="B8" s="64" t="s">
        <v>74</v>
      </c>
    </row>
    <row r="10" ht="12">
      <c r="B10" t="s">
        <v>75</v>
      </c>
    </row>
    <row r="11" ht="12">
      <c r="B11" s="64" t="s">
        <v>76</v>
      </c>
    </row>
  </sheetData>
  <hyperlinks>
    <hyperlink ref="B5" r:id="rId1" display="https://www.e-iceblue.com"/>
    <hyperlink ref="B8" r:id="rId2" display="mailto:support@e-iceblue.com"/>
    <hyperlink ref="B11" r:id="rId3" display="https://www.e-iceblue.com/Buy/Spire.XLS.html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